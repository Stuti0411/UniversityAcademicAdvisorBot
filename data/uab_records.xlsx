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16605eb1d623f03/Documents/UniversityAcademicAdvisorBot/data/"/>
    </mc:Choice>
  </mc:AlternateContent>
  <xr:revisionPtr revIDLastSave="3" documentId="11_CCB1166C9D5098B11C46BA291D9F18956E9E9509" xr6:coauthVersionLast="47" xr6:coauthVersionMax="47" xr10:uidLastSave="{0321D1E9-85AA-4EE8-8AD0-FD75521787D9}"/>
  <bookViews>
    <workbookView xWindow="-108" yWindow="-108" windowWidth="23256" windowHeight="12456" tabRatio="500" xr2:uid="{00000000-000D-0000-FFFF-FFFF00000000}"/>
  </bookViews>
  <sheets>
    <sheet name="Student Records" sheetId="1" r:id="rId1"/>
    <sheet name="Analytics" sheetId="2" r:id="rId2"/>
  </sheets>
  <definedNames>
    <definedName name="_xlnm._FilterDatabase" localSheetId="0" hidden="1">'Student Records'!$A$1:$H$101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2" l="1"/>
  <c r="C32" i="2" s="1"/>
  <c r="B31" i="2"/>
  <c r="C31" i="2" s="1"/>
  <c r="C30" i="2"/>
  <c r="B30" i="2"/>
  <c r="B29" i="2"/>
  <c r="C29" i="2" s="1"/>
  <c r="B28" i="2"/>
  <c r="C28" i="2" s="1"/>
  <c r="C24" i="2"/>
  <c r="B24" i="2"/>
  <c r="D24" i="2" s="1"/>
  <c r="C23" i="2"/>
  <c r="B23" i="2"/>
  <c r="D23" i="2" s="1"/>
  <c r="C22" i="2"/>
  <c r="B22" i="2"/>
  <c r="D22" i="2" s="1"/>
  <c r="C21" i="2"/>
  <c r="B21" i="2"/>
  <c r="D21" i="2" s="1"/>
  <c r="C20" i="2"/>
  <c r="B20" i="2"/>
  <c r="D20" i="2" s="1"/>
  <c r="C16" i="2"/>
  <c r="B16" i="2" s="1"/>
  <c r="C15" i="2"/>
  <c r="B15" i="2" s="1"/>
  <c r="C14" i="2"/>
  <c r="B14" i="2"/>
  <c r="C13" i="2"/>
  <c r="B13" i="2"/>
  <c r="C12" i="2"/>
  <c r="B12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<sst xmlns="http://schemas.openxmlformats.org/spreadsheetml/2006/main" count="444" uniqueCount="251">
  <si>
    <t>StudentID</t>
  </si>
  <si>
    <t>Name</t>
  </si>
  <si>
    <t>Course</t>
  </si>
  <si>
    <t>Semester</t>
  </si>
  <si>
    <t>Marks (/100)</t>
  </si>
  <si>
    <t>Attendance (%)</t>
  </si>
  <si>
    <t>CGPA</t>
  </si>
  <si>
    <t>Department</t>
  </si>
  <si>
    <t>EC1028</t>
  </si>
  <si>
    <t>Gaurav Pandey</t>
  </si>
  <si>
    <t>B.Tech ECE</t>
  </si>
  <si>
    <t>Electronics</t>
  </si>
  <si>
    <t>IT1087</t>
  </si>
  <si>
    <t>Varun Singh</t>
  </si>
  <si>
    <t>B.Sc IT</t>
  </si>
  <si>
    <t>Information Technology</t>
  </si>
  <si>
    <t>IT1097</t>
  </si>
  <si>
    <t>Gaurav Rao</t>
  </si>
  <si>
    <t>MCA</t>
  </si>
  <si>
    <t>ME1049</t>
  </si>
  <si>
    <t>Dhruv Bhatia</t>
  </si>
  <si>
    <t>B.Tech Auto</t>
  </si>
  <si>
    <t>Mechanical</t>
  </si>
  <si>
    <t>CS1006</t>
  </si>
  <si>
    <t>Pooja Das</t>
  </si>
  <si>
    <t>B.Tech CSE</t>
  </si>
  <si>
    <t>Computer Science</t>
  </si>
  <si>
    <t>CS1014</t>
  </si>
  <si>
    <t>Zara Bhatia</t>
  </si>
  <si>
    <t>ME1056</t>
  </si>
  <si>
    <t>Priya Singh</t>
  </si>
  <si>
    <t>B.Tech ME</t>
  </si>
  <si>
    <t>CE1075</t>
  </si>
  <si>
    <t>Komal Bajaj</t>
  </si>
  <si>
    <t>B.Tech Civil</t>
  </si>
  <si>
    <t>Civil</t>
  </si>
  <si>
    <t>CE1073</t>
  </si>
  <si>
    <t>Sandeep Reddy</t>
  </si>
  <si>
    <t>M.Tech Structural</t>
  </si>
  <si>
    <t>CS1007</t>
  </si>
  <si>
    <t>Kiran Choudhary</t>
  </si>
  <si>
    <t>CE1076</t>
  </si>
  <si>
    <t>Nikhil Sharma</t>
  </si>
  <si>
    <t>ME1057</t>
  </si>
  <si>
    <t>Rohit Patel</t>
  </si>
  <si>
    <t>CS1008</t>
  </si>
  <si>
    <t>Jyoti Kapoor</t>
  </si>
  <si>
    <t>M.Tech CSE</t>
  </si>
  <si>
    <t>CE1068</t>
  </si>
  <si>
    <t>Anjali Saxena</t>
  </si>
  <si>
    <t>B.Tech Env</t>
  </si>
  <si>
    <t>ME1046</t>
  </si>
  <si>
    <t>Pallavi Malhotra</t>
  </si>
  <si>
    <t>ME1042</t>
  </si>
  <si>
    <t>Rahul Roy</t>
  </si>
  <si>
    <t>IT1098</t>
  </si>
  <si>
    <t>Rohit Kumar</t>
  </si>
  <si>
    <t>CS1011</t>
  </si>
  <si>
    <t>Divya Mehta</t>
  </si>
  <si>
    <t>CS1017</t>
  </si>
  <si>
    <t>Mohit Singh</t>
  </si>
  <si>
    <t>ME1048</t>
  </si>
  <si>
    <t>Suresh Gupta</t>
  </si>
  <si>
    <t>M.Tech Thermal</t>
  </si>
  <si>
    <t>IT1090</t>
  </si>
  <si>
    <t>Kiran Joshi</t>
  </si>
  <si>
    <t>IT1092</t>
  </si>
  <si>
    <t>Divya Kumar</t>
  </si>
  <si>
    <t>B.Tech IT</t>
  </si>
  <si>
    <t>CS1005</t>
  </si>
  <si>
    <t>Lakshmi Agarwal</t>
  </si>
  <si>
    <t>CE1070</t>
  </si>
  <si>
    <t>Uday Bhatia</t>
  </si>
  <si>
    <t>ME1044</t>
  </si>
  <si>
    <t>Arun Reddy</t>
  </si>
  <si>
    <t>EC1034</t>
  </si>
  <si>
    <t>Rohit Rao</t>
  </si>
  <si>
    <t>ME1052</t>
  </si>
  <si>
    <t>Mohit Joshi</t>
  </si>
  <si>
    <t>EC1026</t>
  </si>
  <si>
    <t>Anjali Mishra</t>
  </si>
  <si>
    <t>B.Tech EEE</t>
  </si>
  <si>
    <t>ME1045</t>
  </si>
  <si>
    <t>Kiran Singh</t>
  </si>
  <si>
    <t>EC1037</t>
  </si>
  <si>
    <t>Bhavya Bhatia</t>
  </si>
  <si>
    <t>EC1024</t>
  </si>
  <si>
    <t>Rohit Choudhary</t>
  </si>
  <si>
    <t>EC1039</t>
  </si>
  <si>
    <t>Aarav Rao</t>
  </si>
  <si>
    <t>CS1003</t>
  </si>
  <si>
    <t>Sneha Gupta</t>
  </si>
  <si>
    <t>BCA</t>
  </si>
  <si>
    <t>EC1027</t>
  </si>
  <si>
    <t>Eshaan Choudhary</t>
  </si>
  <si>
    <t>IT1085</t>
  </si>
  <si>
    <t>Lakshmi Choudhary</t>
  </si>
  <si>
    <t>ME1041</t>
  </si>
  <si>
    <t>Akash Desai</t>
  </si>
  <si>
    <t>IT1083</t>
  </si>
  <si>
    <t>Bhavana Bose</t>
  </si>
  <si>
    <t>CS1013</t>
  </si>
  <si>
    <t>Uday Kumar</t>
  </si>
  <si>
    <t>IT1093</t>
  </si>
  <si>
    <t>Chetan Mishra</t>
  </si>
  <si>
    <t>EC1030</t>
  </si>
  <si>
    <t>Shreya Patel</t>
  </si>
  <si>
    <t>CE1069</t>
  </si>
  <si>
    <t>Deepa Pillai</t>
  </si>
  <si>
    <t>ME1055</t>
  </si>
  <si>
    <t>Varun Choudhary</t>
  </si>
  <si>
    <t>CE1065</t>
  </si>
  <si>
    <t>Tanvi Das</t>
  </si>
  <si>
    <t>IT1100</t>
  </si>
  <si>
    <t>Vijay Mishra</t>
  </si>
  <si>
    <t>EC1023</t>
  </si>
  <si>
    <t>Sakshi Singh</t>
  </si>
  <si>
    <t>M.Tech VLSI</t>
  </si>
  <si>
    <t>IT1095</t>
  </si>
  <si>
    <t>Tanvi Sharma</t>
  </si>
  <si>
    <t>IT1096</t>
  </si>
  <si>
    <t>Harini Das</t>
  </si>
  <si>
    <t>IT1086</t>
  </si>
  <si>
    <t>Divya Nair</t>
  </si>
  <si>
    <t>CS1010</t>
  </si>
  <si>
    <t>Manoj Kumar</t>
  </si>
  <si>
    <t>CE1074</t>
  </si>
  <si>
    <t>Manoj Roy</t>
  </si>
  <si>
    <t>ME1043</t>
  </si>
  <si>
    <t>Aditya Iyer</t>
  </si>
  <si>
    <t>ME1058</t>
  </si>
  <si>
    <t>Sneha Roy</t>
  </si>
  <si>
    <t>CE1080</t>
  </si>
  <si>
    <t>Nikhil Verma</t>
  </si>
  <si>
    <t>IT1082</t>
  </si>
  <si>
    <t>Eshaan Chatterjee</t>
  </si>
  <si>
    <t>ME1047</t>
  </si>
  <si>
    <t>Lakshmi Patel</t>
  </si>
  <si>
    <t>CE1072</t>
  </si>
  <si>
    <t>Arun Saxena</t>
  </si>
  <si>
    <t>CS1001</t>
  </si>
  <si>
    <t>Vijay Reddy</t>
  </si>
  <si>
    <t>IT1088</t>
  </si>
  <si>
    <t>Suresh Roy</t>
  </si>
  <si>
    <t>CE1067</t>
  </si>
  <si>
    <t>Rahul Mehta</t>
  </si>
  <si>
    <t>EC1033</t>
  </si>
  <si>
    <t>Neha Fernandez</t>
  </si>
  <si>
    <t>ME1051</t>
  </si>
  <si>
    <t>Deepa Gupta</t>
  </si>
  <si>
    <t>IT1084</t>
  </si>
  <si>
    <t>Eshaan Pillai</t>
  </si>
  <si>
    <t>EC1022</t>
  </si>
  <si>
    <t>Komal Mehta</t>
  </si>
  <si>
    <t>CE1077</t>
  </si>
  <si>
    <t>Uday Chopra</t>
  </si>
  <si>
    <t>EC1036</t>
  </si>
  <si>
    <t>Shreya Chopra</t>
  </si>
  <si>
    <t>CS1009</t>
  </si>
  <si>
    <t>Vijay Chopra</t>
  </si>
  <si>
    <t>CS1018</t>
  </si>
  <si>
    <t>Shreya Saxena</t>
  </si>
  <si>
    <t>CE1079</t>
  </si>
  <si>
    <t>Mohit Kapoor</t>
  </si>
  <si>
    <t>EC1025</t>
  </si>
  <si>
    <t>Komal Gupta</t>
  </si>
  <si>
    <t>ME1050</t>
  </si>
  <si>
    <t>Neha Kapoor</t>
  </si>
  <si>
    <t>CS1019</t>
  </si>
  <si>
    <t>Jyoti Fernandez</t>
  </si>
  <si>
    <t>IT1089</t>
  </si>
  <si>
    <t>Harini Bose</t>
  </si>
  <si>
    <t>ME1059</t>
  </si>
  <si>
    <t>Riya Mehta</t>
  </si>
  <si>
    <t>EC1032</t>
  </si>
  <si>
    <t>Chetan Desai</t>
  </si>
  <si>
    <t>CE1061</t>
  </si>
  <si>
    <t>Anjali Tiwari</t>
  </si>
  <si>
    <t>CE1062</t>
  </si>
  <si>
    <t>Farah Das</t>
  </si>
  <si>
    <t>ME1054</t>
  </si>
  <si>
    <t>Eshaan Singh</t>
  </si>
  <si>
    <t>EC1035</t>
  </si>
  <si>
    <t>Jyoti Chatterjee</t>
  </si>
  <si>
    <t>CE1066</t>
  </si>
  <si>
    <t>Lakshmi Pandey</t>
  </si>
  <si>
    <t>EC1038</t>
  </si>
  <si>
    <t>Vijay Choudhary</t>
  </si>
  <si>
    <t>CE1064</t>
  </si>
  <si>
    <t>Yamini Kapoor</t>
  </si>
  <si>
    <t>CS1020</t>
  </si>
  <si>
    <t>Shivam Mishra</t>
  </si>
  <si>
    <t>IT1099</t>
  </si>
  <si>
    <t>Aarav Kapoor</t>
  </si>
  <si>
    <t>ME1060</t>
  </si>
  <si>
    <t>Nikhil Rao</t>
  </si>
  <si>
    <t>CS1015</t>
  </si>
  <si>
    <t>Sanya Saxena</t>
  </si>
  <si>
    <t>EC1029</t>
  </si>
  <si>
    <t>Sneha Kapoor</t>
  </si>
  <si>
    <t>CS1012</t>
  </si>
  <si>
    <t>Deepa Chatterjee</t>
  </si>
  <si>
    <t>ME1053</t>
  </si>
  <si>
    <t>Dhruv Iyer</t>
  </si>
  <si>
    <t>IT1094</t>
  </si>
  <si>
    <t>Rajan Bhatia</t>
  </si>
  <si>
    <t>CS1002</t>
  </si>
  <si>
    <t>Shreya Kumar</t>
  </si>
  <si>
    <t>CE1071</t>
  </si>
  <si>
    <t>Zara Fernandez</t>
  </si>
  <si>
    <t>EC1040</t>
  </si>
  <si>
    <t>Divya Bose</t>
  </si>
  <si>
    <t>EC1021</t>
  </si>
  <si>
    <t>Kiran Sharma</t>
  </si>
  <si>
    <t>IT1091</t>
  </si>
  <si>
    <t>Vijay Das</t>
  </si>
  <si>
    <t>EC1031</t>
  </si>
  <si>
    <t>Gaurav Patel</t>
  </si>
  <si>
    <t>CE1078</t>
  </si>
  <si>
    <t>Komal Chopra</t>
  </si>
  <si>
    <t>IT1081</t>
  </si>
  <si>
    <t>Chetan Bhatia</t>
  </si>
  <si>
    <t>CS1004</t>
  </si>
  <si>
    <t>Manoj Nair</t>
  </si>
  <si>
    <t>CS1016</t>
  </si>
  <si>
    <t>Gaurav Bose</t>
  </si>
  <si>
    <t>CE1063</t>
  </si>
  <si>
    <t>Rahul Bose</t>
  </si>
  <si>
    <t>📊 OVERVIEW STATISTICS</t>
  </si>
  <si>
    <t>Total Students</t>
  </si>
  <si>
    <t>Average CGPA</t>
  </si>
  <si>
    <t>Highest CGPA</t>
  </si>
  <si>
    <t>Lowest CGPA</t>
  </si>
  <si>
    <t>Avg Attendance (%)</t>
  </si>
  <si>
    <t>Avg Marks</t>
  </si>
  <si>
    <t>Pass Rate (%)</t>
  </si>
  <si>
    <t>🏆 DEPARTMENT TOPPERS</t>
  </si>
  <si>
    <t>Topper Name</t>
  </si>
  <si>
    <t>Max CGPA</t>
  </si>
  <si>
    <t>📈 DEPARTMENT-WISE PASS RATE</t>
  </si>
  <si>
    <t>Passed</t>
  </si>
  <si>
    <t>Pass Rate %</t>
  </si>
  <si>
    <t>📉 CGPA BAND DISTRIBUTION</t>
  </si>
  <si>
    <t>CGPA Band</t>
  </si>
  <si>
    <t>Student Count</t>
  </si>
  <si>
    <t>Percentage %</t>
  </si>
  <si>
    <t>Outstanding (9.0–10.0)</t>
  </si>
  <si>
    <t>Excellent (8.0–8.99)</t>
  </si>
  <si>
    <t>Good (7.0–7.99)</t>
  </si>
  <si>
    <t>Average (6.0–6.99)</t>
  </si>
  <si>
    <t>Below Average (&lt;6.0)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</si>
</sst>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2" fontId="2" fillId="5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Normal="100" workbookViewId="0">
      <pane ySplit="1" topLeftCell="A2" activePane="bottomLeft" state="frozen"/>
      <selection pane="bottomLeft" sqref="A1:H1048576"/>
    </sheetView>
  </sheetViews>
  <sheetFormatPr defaultColWidth="8.6640625" defaultRowHeight="14.4" x14ac:dyDescent="0.3"/>
  <cols>
    <col min="1" max="1" width="16.77734375" customWidth="1"/>
    <col min="2" max="2" width="22" customWidth="1"/>
    <col min="3" max="3" width="20" customWidth="1"/>
    <col min="4" max="4" width="11" customWidth="1"/>
    <col min="5" max="5" width="14" customWidth="1"/>
    <col min="6" max="6" width="16" customWidth="1"/>
    <col min="7" max="7" width="10" customWidth="1"/>
    <col min="8" max="8" width="22" customWidth="1"/>
  </cols>
  <sheetData>
    <row r="1" spans="1:8" ht="21.75" customHeight="1" x14ac:dyDescent="0.3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 t="s">
        <v>8</v>
      </c>
      <c r="B2" s="12" t="s">
        <v>9</v>
      </c>
      <c r="C2" s="2" t="s">
        <v>10</v>
      </c>
      <c r="D2" s="2">
        <v>7</v>
      </c>
      <c r="E2" s="2">
        <v>70</v>
      </c>
      <c r="F2" s="2">
        <v>67.7</v>
      </c>
      <c r="G2" s="2">
        <v>7.51</v>
      </c>
      <c r="H2" s="2" t="s">
        <v>11</v>
      </c>
    </row>
    <row r="3" spans="1:8" ht="15" customHeight="1" x14ac:dyDescent="0.3">
      <c r="A3" s="3" t="s">
        <v>12</v>
      </c>
      <c r="B3" s="13" t="s">
        <v>13</v>
      </c>
      <c r="C3" s="3" t="s">
        <v>14</v>
      </c>
      <c r="D3" s="3">
        <v>7</v>
      </c>
      <c r="E3" s="3">
        <v>94</v>
      </c>
      <c r="F3" s="3">
        <v>68.2</v>
      </c>
      <c r="G3" s="3">
        <v>9.5500000000000007</v>
      </c>
      <c r="H3" s="3" t="s">
        <v>15</v>
      </c>
    </row>
    <row r="4" spans="1:8" ht="15" customHeight="1" x14ac:dyDescent="0.3">
      <c r="A4" s="2" t="s">
        <v>16</v>
      </c>
      <c r="B4" s="12" t="s">
        <v>17</v>
      </c>
      <c r="C4" s="2" t="s">
        <v>18</v>
      </c>
      <c r="D4" s="2">
        <v>8</v>
      </c>
      <c r="E4" s="2">
        <v>76</v>
      </c>
      <c r="F4" s="2">
        <v>97.1</v>
      </c>
      <c r="G4" s="2">
        <v>8.16</v>
      </c>
      <c r="H4" s="2" t="s">
        <v>15</v>
      </c>
    </row>
    <row r="5" spans="1:8" ht="15" customHeight="1" x14ac:dyDescent="0.3">
      <c r="A5" s="3" t="s">
        <v>19</v>
      </c>
      <c r="B5" s="13" t="s">
        <v>20</v>
      </c>
      <c r="C5" s="3" t="s">
        <v>21</v>
      </c>
      <c r="D5" s="3">
        <v>4</v>
      </c>
      <c r="E5" s="3">
        <v>82</v>
      </c>
      <c r="F5" s="3">
        <v>58.1</v>
      </c>
      <c r="G5" s="3">
        <v>8.5500000000000007</v>
      </c>
      <c r="H5" s="3" t="s">
        <v>22</v>
      </c>
    </row>
    <row r="6" spans="1:8" ht="15" customHeight="1" x14ac:dyDescent="0.3">
      <c r="A6" s="2" t="s">
        <v>23</v>
      </c>
      <c r="B6" s="12" t="s">
        <v>24</v>
      </c>
      <c r="C6" s="2" t="s">
        <v>25</v>
      </c>
      <c r="D6" s="2">
        <v>2</v>
      </c>
      <c r="E6" s="2">
        <v>45</v>
      </c>
      <c r="F6" s="2">
        <v>65.099999999999994</v>
      </c>
      <c r="G6" s="2">
        <v>4.8600000000000003</v>
      </c>
      <c r="H6" s="2" t="s">
        <v>26</v>
      </c>
    </row>
    <row r="7" spans="1:8" ht="15" customHeight="1" x14ac:dyDescent="0.3">
      <c r="A7" s="3" t="s">
        <v>27</v>
      </c>
      <c r="B7" s="13" t="s">
        <v>28</v>
      </c>
      <c r="C7" s="3" t="s">
        <v>25</v>
      </c>
      <c r="D7" s="3">
        <v>5</v>
      </c>
      <c r="E7" s="3">
        <v>31</v>
      </c>
      <c r="F7" s="3">
        <v>46.6</v>
      </c>
      <c r="G7" s="3">
        <v>3.73</v>
      </c>
      <c r="H7" s="3" t="s">
        <v>26</v>
      </c>
    </row>
    <row r="8" spans="1:8" ht="15" customHeight="1" x14ac:dyDescent="0.3">
      <c r="A8" s="2" t="s">
        <v>29</v>
      </c>
      <c r="B8" s="12" t="s">
        <v>30</v>
      </c>
      <c r="C8" s="2" t="s">
        <v>31</v>
      </c>
      <c r="D8" s="2">
        <v>1</v>
      </c>
      <c r="E8" s="2">
        <v>49</v>
      </c>
      <c r="F8" s="2">
        <v>64.7</v>
      </c>
      <c r="G8" s="2">
        <v>5.74</v>
      </c>
      <c r="H8" s="2" t="s">
        <v>22</v>
      </c>
    </row>
    <row r="9" spans="1:8" ht="15" customHeight="1" x14ac:dyDescent="0.3">
      <c r="A9" s="3" t="s">
        <v>32</v>
      </c>
      <c r="B9" s="13" t="s">
        <v>33</v>
      </c>
      <c r="C9" s="3" t="s">
        <v>34</v>
      </c>
      <c r="D9" s="3">
        <v>5</v>
      </c>
      <c r="E9" s="3">
        <v>90</v>
      </c>
      <c r="F9" s="3">
        <v>88.4</v>
      </c>
      <c r="G9" s="3">
        <v>9.17</v>
      </c>
      <c r="H9" s="3" t="s">
        <v>35</v>
      </c>
    </row>
    <row r="10" spans="1:8" ht="15" customHeight="1" x14ac:dyDescent="0.3">
      <c r="A10" s="2" t="s">
        <v>36</v>
      </c>
      <c r="B10" s="12" t="s">
        <v>37</v>
      </c>
      <c r="C10" s="2" t="s">
        <v>38</v>
      </c>
      <c r="D10" s="2">
        <v>6</v>
      </c>
      <c r="E10" s="2">
        <v>90</v>
      </c>
      <c r="F10" s="2">
        <v>74.400000000000006</v>
      </c>
      <c r="G10" s="2">
        <v>9.34</v>
      </c>
      <c r="H10" s="2" t="s">
        <v>35</v>
      </c>
    </row>
    <row r="11" spans="1:8" ht="15" customHeight="1" x14ac:dyDescent="0.3">
      <c r="A11" s="3" t="s">
        <v>39</v>
      </c>
      <c r="B11" s="13" t="s">
        <v>40</v>
      </c>
      <c r="C11" s="3" t="s">
        <v>25</v>
      </c>
      <c r="D11" s="3">
        <v>7</v>
      </c>
      <c r="E11" s="3">
        <v>72</v>
      </c>
      <c r="F11" s="3">
        <v>83.3</v>
      </c>
      <c r="G11" s="3">
        <v>7.36</v>
      </c>
      <c r="H11" s="3" t="s">
        <v>26</v>
      </c>
    </row>
    <row r="12" spans="1:8" ht="15" customHeight="1" x14ac:dyDescent="0.3">
      <c r="A12" s="2" t="s">
        <v>41</v>
      </c>
      <c r="B12" s="12" t="s">
        <v>42</v>
      </c>
      <c r="C12" s="2" t="s">
        <v>38</v>
      </c>
      <c r="D12" s="2">
        <v>6</v>
      </c>
      <c r="E12" s="2">
        <v>60</v>
      </c>
      <c r="F12" s="2">
        <v>64.400000000000006</v>
      </c>
      <c r="G12" s="2">
        <v>6.72</v>
      </c>
      <c r="H12" s="2" t="s">
        <v>35</v>
      </c>
    </row>
    <row r="13" spans="1:8" ht="15" customHeight="1" x14ac:dyDescent="0.3">
      <c r="A13" s="3" t="s">
        <v>43</v>
      </c>
      <c r="B13" s="13" t="s">
        <v>44</v>
      </c>
      <c r="C13" s="3" t="s">
        <v>21</v>
      </c>
      <c r="D13" s="3">
        <v>4</v>
      </c>
      <c r="E13" s="3">
        <v>52</v>
      </c>
      <c r="F13" s="3">
        <v>60.9</v>
      </c>
      <c r="G13" s="3">
        <v>5.67</v>
      </c>
      <c r="H13" s="3" t="s">
        <v>22</v>
      </c>
    </row>
    <row r="14" spans="1:8" ht="15" customHeight="1" x14ac:dyDescent="0.3">
      <c r="A14" s="2" t="s">
        <v>45</v>
      </c>
      <c r="B14" s="12" t="s">
        <v>46</v>
      </c>
      <c r="C14" s="2" t="s">
        <v>47</v>
      </c>
      <c r="D14" s="2">
        <v>2</v>
      </c>
      <c r="E14" s="2">
        <v>59</v>
      </c>
      <c r="F14" s="2">
        <v>87.4</v>
      </c>
      <c r="G14" s="2">
        <v>5.99</v>
      </c>
      <c r="H14" s="2" t="s">
        <v>26</v>
      </c>
    </row>
    <row r="15" spans="1:8" ht="15" customHeight="1" x14ac:dyDescent="0.3">
      <c r="A15" s="3" t="s">
        <v>48</v>
      </c>
      <c r="B15" s="13" t="s">
        <v>49</v>
      </c>
      <c r="C15" s="3" t="s">
        <v>50</v>
      </c>
      <c r="D15" s="3">
        <v>1</v>
      </c>
      <c r="E15" s="3">
        <v>36</v>
      </c>
      <c r="F15" s="3">
        <v>63.9</v>
      </c>
      <c r="G15" s="3">
        <v>4</v>
      </c>
      <c r="H15" s="3" t="s">
        <v>35</v>
      </c>
    </row>
    <row r="16" spans="1:8" ht="15" customHeight="1" x14ac:dyDescent="0.3">
      <c r="A16" s="2" t="s">
        <v>51</v>
      </c>
      <c r="B16" s="12" t="s">
        <v>52</v>
      </c>
      <c r="C16" s="2" t="s">
        <v>21</v>
      </c>
      <c r="D16" s="2">
        <v>7</v>
      </c>
      <c r="E16" s="2">
        <v>72</v>
      </c>
      <c r="F16" s="2">
        <v>60.1</v>
      </c>
      <c r="G16" s="2">
        <v>7.96</v>
      </c>
      <c r="H16" s="2" t="s">
        <v>22</v>
      </c>
    </row>
    <row r="17" spans="1:8" ht="15" customHeight="1" x14ac:dyDescent="0.3">
      <c r="A17" s="3" t="s">
        <v>53</v>
      </c>
      <c r="B17" s="13" t="s">
        <v>54</v>
      </c>
      <c r="C17" s="3" t="s">
        <v>21</v>
      </c>
      <c r="D17" s="3">
        <v>3</v>
      </c>
      <c r="E17" s="3">
        <v>62</v>
      </c>
      <c r="F17" s="3">
        <v>98.4</v>
      </c>
      <c r="G17" s="3">
        <v>6.91</v>
      </c>
      <c r="H17" s="3" t="s">
        <v>22</v>
      </c>
    </row>
    <row r="18" spans="1:8" ht="15" customHeight="1" x14ac:dyDescent="0.3">
      <c r="A18" s="2" t="s">
        <v>55</v>
      </c>
      <c r="B18" s="12" t="s">
        <v>56</v>
      </c>
      <c r="C18" s="2" t="s">
        <v>18</v>
      </c>
      <c r="D18" s="2">
        <v>5</v>
      </c>
      <c r="E18" s="2">
        <v>72</v>
      </c>
      <c r="F18" s="2">
        <v>98.2</v>
      </c>
      <c r="G18" s="2">
        <v>7.4</v>
      </c>
      <c r="H18" s="2" t="s">
        <v>15</v>
      </c>
    </row>
    <row r="19" spans="1:8" ht="15" customHeight="1" x14ac:dyDescent="0.3">
      <c r="A19" s="3" t="s">
        <v>57</v>
      </c>
      <c r="B19" s="13" t="s">
        <v>58</v>
      </c>
      <c r="C19" s="3" t="s">
        <v>25</v>
      </c>
      <c r="D19" s="3">
        <v>4</v>
      </c>
      <c r="E19" s="3">
        <v>72</v>
      </c>
      <c r="F19" s="3">
        <v>74.099999999999994</v>
      </c>
      <c r="G19" s="3">
        <v>7.58</v>
      </c>
      <c r="H19" s="3" t="s">
        <v>26</v>
      </c>
    </row>
    <row r="20" spans="1:8" ht="15" customHeight="1" x14ac:dyDescent="0.3">
      <c r="A20" s="2" t="s">
        <v>59</v>
      </c>
      <c r="B20" s="12" t="s">
        <v>60</v>
      </c>
      <c r="C20" s="2" t="s">
        <v>25</v>
      </c>
      <c r="D20" s="2">
        <v>4</v>
      </c>
      <c r="E20" s="2">
        <v>41</v>
      </c>
      <c r="F20" s="2">
        <v>87.6</v>
      </c>
      <c r="G20" s="2">
        <v>5.03</v>
      </c>
      <c r="H20" s="2" t="s">
        <v>26</v>
      </c>
    </row>
    <row r="21" spans="1:8" ht="15" customHeight="1" x14ac:dyDescent="0.3">
      <c r="A21" s="3" t="s">
        <v>61</v>
      </c>
      <c r="B21" s="13" t="s">
        <v>62</v>
      </c>
      <c r="C21" s="3" t="s">
        <v>63</v>
      </c>
      <c r="D21" s="3">
        <v>1</v>
      </c>
      <c r="E21" s="3">
        <v>85</v>
      </c>
      <c r="F21" s="3">
        <v>78.099999999999994</v>
      </c>
      <c r="G21" s="3">
        <v>8.9600000000000009</v>
      </c>
      <c r="H21" s="3" t="s">
        <v>22</v>
      </c>
    </row>
    <row r="22" spans="1:8" ht="15" customHeight="1" x14ac:dyDescent="0.3">
      <c r="A22" s="2" t="s">
        <v>64</v>
      </c>
      <c r="B22" s="12" t="s">
        <v>65</v>
      </c>
      <c r="C22" s="2" t="s">
        <v>14</v>
      </c>
      <c r="D22" s="2">
        <v>5</v>
      </c>
      <c r="E22" s="2">
        <v>89</v>
      </c>
      <c r="F22" s="2">
        <v>85.6</v>
      </c>
      <c r="G22" s="2">
        <v>9.44</v>
      </c>
      <c r="H22" s="2" t="s">
        <v>15</v>
      </c>
    </row>
    <row r="23" spans="1:8" ht="15" customHeight="1" x14ac:dyDescent="0.3">
      <c r="A23" s="3" t="s">
        <v>66</v>
      </c>
      <c r="B23" s="13" t="s">
        <v>67</v>
      </c>
      <c r="C23" s="3" t="s">
        <v>68</v>
      </c>
      <c r="D23" s="3">
        <v>3</v>
      </c>
      <c r="E23" s="3">
        <v>78</v>
      </c>
      <c r="F23" s="3">
        <v>88.3</v>
      </c>
      <c r="G23" s="3">
        <v>8.1</v>
      </c>
      <c r="H23" s="3" t="s">
        <v>15</v>
      </c>
    </row>
    <row r="24" spans="1:8" ht="15" customHeight="1" x14ac:dyDescent="0.3">
      <c r="A24" s="2" t="s">
        <v>69</v>
      </c>
      <c r="B24" s="12" t="s">
        <v>70</v>
      </c>
      <c r="C24" s="2" t="s">
        <v>25</v>
      </c>
      <c r="D24" s="2">
        <v>8</v>
      </c>
      <c r="E24" s="2">
        <v>51</v>
      </c>
      <c r="F24" s="2">
        <v>58.5</v>
      </c>
      <c r="G24" s="2">
        <v>5.41</v>
      </c>
      <c r="H24" s="2" t="s">
        <v>26</v>
      </c>
    </row>
    <row r="25" spans="1:8" ht="15" customHeight="1" x14ac:dyDescent="0.3">
      <c r="A25" s="3" t="s">
        <v>71</v>
      </c>
      <c r="B25" s="13" t="s">
        <v>72</v>
      </c>
      <c r="C25" s="3" t="s">
        <v>50</v>
      </c>
      <c r="D25" s="3">
        <v>2</v>
      </c>
      <c r="E25" s="3">
        <v>54</v>
      </c>
      <c r="F25" s="3">
        <v>59.8</v>
      </c>
      <c r="G25" s="3">
        <v>5.41</v>
      </c>
      <c r="H25" s="3" t="s">
        <v>35</v>
      </c>
    </row>
    <row r="26" spans="1:8" ht="15" customHeight="1" x14ac:dyDescent="0.3">
      <c r="A26" s="2" t="s">
        <v>73</v>
      </c>
      <c r="B26" s="12" t="s">
        <v>74</v>
      </c>
      <c r="C26" s="2" t="s">
        <v>63</v>
      </c>
      <c r="D26" s="2">
        <v>1</v>
      </c>
      <c r="E26" s="2">
        <v>93</v>
      </c>
      <c r="F26" s="2">
        <v>63.9</v>
      </c>
      <c r="G26" s="2">
        <v>9.7899999999999991</v>
      </c>
      <c r="H26" s="2" t="s">
        <v>22</v>
      </c>
    </row>
    <row r="27" spans="1:8" ht="15" customHeight="1" x14ac:dyDescent="0.3">
      <c r="A27" s="3" t="s">
        <v>75</v>
      </c>
      <c r="B27" s="13" t="s">
        <v>76</v>
      </c>
      <c r="C27" s="3" t="s">
        <v>10</v>
      </c>
      <c r="D27" s="3">
        <v>1</v>
      </c>
      <c r="E27" s="3">
        <v>97</v>
      </c>
      <c r="F27" s="3">
        <v>99.4</v>
      </c>
      <c r="G27" s="3">
        <v>10</v>
      </c>
      <c r="H27" s="3" t="s">
        <v>11</v>
      </c>
    </row>
    <row r="28" spans="1:8" ht="15" customHeight="1" x14ac:dyDescent="0.3">
      <c r="A28" s="2" t="s">
        <v>77</v>
      </c>
      <c r="B28" s="12" t="s">
        <v>78</v>
      </c>
      <c r="C28" s="2" t="s">
        <v>31</v>
      </c>
      <c r="D28" s="2">
        <v>7</v>
      </c>
      <c r="E28" s="2">
        <v>78</v>
      </c>
      <c r="F28" s="2">
        <v>74.7</v>
      </c>
      <c r="G28" s="2">
        <v>8.2100000000000009</v>
      </c>
      <c r="H28" s="2" t="s">
        <v>22</v>
      </c>
    </row>
    <row r="29" spans="1:8" ht="15" customHeight="1" x14ac:dyDescent="0.3">
      <c r="A29" s="3" t="s">
        <v>79</v>
      </c>
      <c r="B29" s="13" t="s">
        <v>80</v>
      </c>
      <c r="C29" s="3" t="s">
        <v>81</v>
      </c>
      <c r="D29" s="3">
        <v>2</v>
      </c>
      <c r="E29" s="3">
        <v>46</v>
      </c>
      <c r="F29" s="3">
        <v>99.5</v>
      </c>
      <c r="G29" s="3">
        <v>5.5</v>
      </c>
      <c r="H29" s="3" t="s">
        <v>11</v>
      </c>
    </row>
    <row r="30" spans="1:8" ht="15" customHeight="1" x14ac:dyDescent="0.3">
      <c r="A30" s="2" t="s">
        <v>82</v>
      </c>
      <c r="B30" s="12" t="s">
        <v>83</v>
      </c>
      <c r="C30" s="2" t="s">
        <v>31</v>
      </c>
      <c r="D30" s="2">
        <v>4</v>
      </c>
      <c r="E30" s="2">
        <v>86</v>
      </c>
      <c r="F30" s="2">
        <v>67.400000000000006</v>
      </c>
      <c r="G30" s="2">
        <v>8.32</v>
      </c>
      <c r="H30" s="2" t="s">
        <v>22</v>
      </c>
    </row>
    <row r="31" spans="1:8" ht="15" customHeight="1" x14ac:dyDescent="0.3">
      <c r="A31" s="3" t="s">
        <v>84</v>
      </c>
      <c r="B31" s="13" t="s">
        <v>85</v>
      </c>
      <c r="C31" s="3" t="s">
        <v>81</v>
      </c>
      <c r="D31" s="3">
        <v>3</v>
      </c>
      <c r="E31" s="3">
        <v>68</v>
      </c>
      <c r="F31" s="3">
        <v>81.900000000000006</v>
      </c>
      <c r="G31" s="3">
        <v>7.35</v>
      </c>
      <c r="H31" s="3" t="s">
        <v>11</v>
      </c>
    </row>
    <row r="32" spans="1:8" ht="15" customHeight="1" x14ac:dyDescent="0.3">
      <c r="A32" s="2" t="s">
        <v>86</v>
      </c>
      <c r="B32" s="12" t="s">
        <v>87</v>
      </c>
      <c r="C32" s="2" t="s">
        <v>81</v>
      </c>
      <c r="D32" s="2">
        <v>1</v>
      </c>
      <c r="E32" s="2">
        <v>42</v>
      </c>
      <c r="F32" s="2">
        <v>72.900000000000006</v>
      </c>
      <c r="G32" s="2">
        <v>4.6500000000000004</v>
      </c>
      <c r="H32" s="2" t="s">
        <v>11</v>
      </c>
    </row>
    <row r="33" spans="1:8" ht="15" customHeight="1" x14ac:dyDescent="0.3">
      <c r="A33" s="3" t="s">
        <v>88</v>
      </c>
      <c r="B33" s="13" t="s">
        <v>89</v>
      </c>
      <c r="C33" s="3" t="s">
        <v>10</v>
      </c>
      <c r="D33" s="3">
        <v>5</v>
      </c>
      <c r="E33" s="3">
        <v>21</v>
      </c>
      <c r="F33" s="3">
        <v>57.3</v>
      </c>
      <c r="G33" s="3">
        <v>3.82</v>
      </c>
      <c r="H33" s="3" t="s">
        <v>11</v>
      </c>
    </row>
    <row r="34" spans="1:8" ht="15" customHeight="1" x14ac:dyDescent="0.3">
      <c r="A34" s="2" t="s">
        <v>90</v>
      </c>
      <c r="B34" s="12" t="s">
        <v>91</v>
      </c>
      <c r="C34" s="2" t="s">
        <v>92</v>
      </c>
      <c r="D34" s="2">
        <v>7</v>
      </c>
      <c r="E34" s="2">
        <v>32</v>
      </c>
      <c r="F34" s="2">
        <v>50.6</v>
      </c>
      <c r="G34" s="2">
        <v>2.72</v>
      </c>
      <c r="H34" s="2" t="s">
        <v>26</v>
      </c>
    </row>
    <row r="35" spans="1:8" ht="15" customHeight="1" x14ac:dyDescent="0.3">
      <c r="A35" s="3" t="s">
        <v>93</v>
      </c>
      <c r="B35" s="13" t="s">
        <v>94</v>
      </c>
      <c r="C35" s="3" t="s">
        <v>10</v>
      </c>
      <c r="D35" s="3">
        <v>3</v>
      </c>
      <c r="E35" s="3">
        <v>89</v>
      </c>
      <c r="F35" s="3">
        <v>76.400000000000006</v>
      </c>
      <c r="G35" s="3">
        <v>9.3800000000000008</v>
      </c>
      <c r="H35" s="3" t="s">
        <v>11</v>
      </c>
    </row>
    <row r="36" spans="1:8" ht="15" customHeight="1" x14ac:dyDescent="0.3">
      <c r="A36" s="2" t="s">
        <v>95</v>
      </c>
      <c r="B36" s="12" t="s">
        <v>96</v>
      </c>
      <c r="C36" s="2" t="s">
        <v>18</v>
      </c>
      <c r="D36" s="2">
        <v>2</v>
      </c>
      <c r="E36" s="2">
        <v>44</v>
      </c>
      <c r="F36" s="2">
        <v>76.900000000000006</v>
      </c>
      <c r="G36" s="2">
        <v>5.0599999999999996</v>
      </c>
      <c r="H36" s="2" t="s">
        <v>15</v>
      </c>
    </row>
    <row r="37" spans="1:8" ht="15" customHeight="1" x14ac:dyDescent="0.3">
      <c r="A37" s="3" t="s">
        <v>97</v>
      </c>
      <c r="B37" s="13" t="s">
        <v>98</v>
      </c>
      <c r="C37" s="3" t="s">
        <v>63</v>
      </c>
      <c r="D37" s="3">
        <v>4</v>
      </c>
      <c r="E37" s="3">
        <v>71</v>
      </c>
      <c r="F37" s="3">
        <v>59.6</v>
      </c>
      <c r="G37" s="3">
        <v>7.68</v>
      </c>
      <c r="H37" s="3" t="s">
        <v>22</v>
      </c>
    </row>
    <row r="38" spans="1:8" ht="15" customHeight="1" x14ac:dyDescent="0.3">
      <c r="A38" s="2" t="s">
        <v>99</v>
      </c>
      <c r="B38" s="12" t="s">
        <v>100</v>
      </c>
      <c r="C38" s="2" t="s">
        <v>68</v>
      </c>
      <c r="D38" s="2">
        <v>5</v>
      </c>
      <c r="E38" s="2">
        <v>35</v>
      </c>
      <c r="F38" s="2">
        <v>79.599999999999994</v>
      </c>
      <c r="G38" s="2">
        <v>4.38</v>
      </c>
      <c r="H38" s="2" t="s">
        <v>15</v>
      </c>
    </row>
    <row r="39" spans="1:8" ht="15" customHeight="1" x14ac:dyDescent="0.3">
      <c r="A39" s="3" t="s">
        <v>101</v>
      </c>
      <c r="B39" s="13" t="s">
        <v>102</v>
      </c>
      <c r="C39" s="3" t="s">
        <v>47</v>
      </c>
      <c r="D39" s="3">
        <v>7</v>
      </c>
      <c r="E39" s="3">
        <v>97</v>
      </c>
      <c r="F39" s="3">
        <v>66.2</v>
      </c>
      <c r="G39" s="3">
        <v>9.7799999999999994</v>
      </c>
      <c r="H39" s="3" t="s">
        <v>26</v>
      </c>
    </row>
    <row r="40" spans="1:8" ht="15" customHeight="1" x14ac:dyDescent="0.3">
      <c r="A40" s="2" t="s">
        <v>103</v>
      </c>
      <c r="B40" s="12" t="s">
        <v>104</v>
      </c>
      <c r="C40" s="2" t="s">
        <v>14</v>
      </c>
      <c r="D40" s="2">
        <v>5</v>
      </c>
      <c r="E40" s="2">
        <v>85</v>
      </c>
      <c r="F40" s="2">
        <v>77.3</v>
      </c>
      <c r="G40" s="2">
        <v>8.65</v>
      </c>
      <c r="H40" s="2" t="s">
        <v>15</v>
      </c>
    </row>
    <row r="41" spans="1:8" ht="15" customHeight="1" x14ac:dyDescent="0.3">
      <c r="A41" s="3" t="s">
        <v>105</v>
      </c>
      <c r="B41" s="13" t="s">
        <v>106</v>
      </c>
      <c r="C41" s="3" t="s">
        <v>81</v>
      </c>
      <c r="D41" s="3">
        <v>6</v>
      </c>
      <c r="E41" s="3">
        <v>37</v>
      </c>
      <c r="F41" s="3">
        <v>81</v>
      </c>
      <c r="G41" s="3">
        <v>4.3600000000000003</v>
      </c>
      <c r="H41" s="3" t="s">
        <v>11</v>
      </c>
    </row>
    <row r="42" spans="1:8" ht="15" customHeight="1" x14ac:dyDescent="0.3">
      <c r="A42" s="2" t="s">
        <v>107</v>
      </c>
      <c r="B42" s="12" t="s">
        <v>108</v>
      </c>
      <c r="C42" s="2" t="s">
        <v>50</v>
      </c>
      <c r="D42" s="2">
        <v>2</v>
      </c>
      <c r="E42" s="2">
        <v>64</v>
      </c>
      <c r="F42" s="2">
        <v>86.1</v>
      </c>
      <c r="G42" s="2">
        <v>7.04</v>
      </c>
      <c r="H42" s="2" t="s">
        <v>35</v>
      </c>
    </row>
    <row r="43" spans="1:8" ht="15" customHeight="1" x14ac:dyDescent="0.3">
      <c r="A43" s="3" t="s">
        <v>109</v>
      </c>
      <c r="B43" s="13" t="s">
        <v>110</v>
      </c>
      <c r="C43" s="3" t="s">
        <v>31</v>
      </c>
      <c r="D43" s="3">
        <v>8</v>
      </c>
      <c r="E43" s="3">
        <v>93</v>
      </c>
      <c r="F43" s="3">
        <v>80.599999999999994</v>
      </c>
      <c r="G43" s="3">
        <v>9.59</v>
      </c>
      <c r="H43" s="3" t="s">
        <v>22</v>
      </c>
    </row>
    <row r="44" spans="1:8" ht="15" customHeight="1" x14ac:dyDescent="0.3">
      <c r="A44" s="2" t="s">
        <v>111</v>
      </c>
      <c r="B44" s="12" t="s">
        <v>112</v>
      </c>
      <c r="C44" s="2" t="s">
        <v>50</v>
      </c>
      <c r="D44" s="2">
        <v>1</v>
      </c>
      <c r="E44" s="2">
        <v>50</v>
      </c>
      <c r="F44" s="2">
        <v>74.099999999999994</v>
      </c>
      <c r="G44" s="2">
        <v>5.89</v>
      </c>
      <c r="H44" s="2" t="s">
        <v>35</v>
      </c>
    </row>
    <row r="45" spans="1:8" ht="15" customHeight="1" x14ac:dyDescent="0.3">
      <c r="A45" s="3" t="s">
        <v>113</v>
      </c>
      <c r="B45" s="13" t="s">
        <v>114</v>
      </c>
      <c r="C45" s="3" t="s">
        <v>68</v>
      </c>
      <c r="D45" s="3">
        <v>4</v>
      </c>
      <c r="E45" s="3">
        <v>72</v>
      </c>
      <c r="F45" s="3">
        <v>60.8</v>
      </c>
      <c r="G45" s="3">
        <v>7.28</v>
      </c>
      <c r="H45" s="3" t="s">
        <v>15</v>
      </c>
    </row>
    <row r="46" spans="1:8" ht="15" customHeight="1" x14ac:dyDescent="0.3">
      <c r="A46" s="2" t="s">
        <v>115</v>
      </c>
      <c r="B46" s="12" t="s">
        <v>116</v>
      </c>
      <c r="C46" s="2" t="s">
        <v>117</v>
      </c>
      <c r="D46" s="2">
        <v>7</v>
      </c>
      <c r="E46" s="2">
        <v>55</v>
      </c>
      <c r="F46" s="2">
        <v>59.3</v>
      </c>
      <c r="G46" s="2">
        <v>5.9</v>
      </c>
      <c r="H46" s="2" t="s">
        <v>11</v>
      </c>
    </row>
    <row r="47" spans="1:8" ht="15" customHeight="1" x14ac:dyDescent="0.3">
      <c r="A47" s="3" t="s">
        <v>118</v>
      </c>
      <c r="B47" s="13" t="s">
        <v>119</v>
      </c>
      <c r="C47" s="3" t="s">
        <v>14</v>
      </c>
      <c r="D47" s="3">
        <v>5</v>
      </c>
      <c r="E47" s="3">
        <v>37</v>
      </c>
      <c r="F47" s="3">
        <v>75.900000000000006</v>
      </c>
      <c r="G47" s="3">
        <v>4.51</v>
      </c>
      <c r="H47" s="3" t="s">
        <v>15</v>
      </c>
    </row>
    <row r="48" spans="1:8" ht="15" customHeight="1" x14ac:dyDescent="0.3">
      <c r="A48" s="2" t="s">
        <v>120</v>
      </c>
      <c r="B48" s="12" t="s">
        <v>121</v>
      </c>
      <c r="C48" s="2" t="s">
        <v>18</v>
      </c>
      <c r="D48" s="2">
        <v>8</v>
      </c>
      <c r="E48" s="2">
        <v>48</v>
      </c>
      <c r="F48" s="2">
        <v>70.5</v>
      </c>
      <c r="G48" s="2">
        <v>5.18</v>
      </c>
      <c r="H48" s="2" t="s">
        <v>15</v>
      </c>
    </row>
    <row r="49" spans="1:8" ht="15" customHeight="1" x14ac:dyDescent="0.3">
      <c r="A49" s="3" t="s">
        <v>122</v>
      </c>
      <c r="B49" s="13" t="s">
        <v>123</v>
      </c>
      <c r="C49" s="3" t="s">
        <v>14</v>
      </c>
      <c r="D49" s="3">
        <v>5</v>
      </c>
      <c r="E49" s="3">
        <v>43</v>
      </c>
      <c r="F49" s="3">
        <v>60.3</v>
      </c>
      <c r="G49" s="3">
        <v>5.16</v>
      </c>
      <c r="H49" s="3" t="s">
        <v>15</v>
      </c>
    </row>
    <row r="50" spans="1:8" ht="15" customHeight="1" x14ac:dyDescent="0.3">
      <c r="A50" s="2" t="s">
        <v>124</v>
      </c>
      <c r="B50" s="12" t="s">
        <v>125</v>
      </c>
      <c r="C50" s="2" t="s">
        <v>25</v>
      </c>
      <c r="D50" s="2">
        <v>6</v>
      </c>
      <c r="E50" s="2">
        <v>67</v>
      </c>
      <c r="F50" s="2">
        <v>77.2</v>
      </c>
      <c r="G50" s="2">
        <v>7.43</v>
      </c>
      <c r="H50" s="2" t="s">
        <v>26</v>
      </c>
    </row>
    <row r="51" spans="1:8" ht="15" customHeight="1" x14ac:dyDescent="0.3">
      <c r="A51" s="3" t="s">
        <v>126</v>
      </c>
      <c r="B51" s="13" t="s">
        <v>127</v>
      </c>
      <c r="C51" s="3" t="s">
        <v>50</v>
      </c>
      <c r="D51" s="3">
        <v>8</v>
      </c>
      <c r="E51" s="3">
        <v>95</v>
      </c>
      <c r="F51" s="3">
        <v>91.7</v>
      </c>
      <c r="G51" s="3">
        <v>9.64</v>
      </c>
      <c r="H51" s="3" t="s">
        <v>35</v>
      </c>
    </row>
    <row r="52" spans="1:8" ht="15" customHeight="1" x14ac:dyDescent="0.3">
      <c r="A52" s="2" t="s">
        <v>128</v>
      </c>
      <c r="B52" s="12" t="s">
        <v>129</v>
      </c>
      <c r="C52" s="2" t="s">
        <v>21</v>
      </c>
      <c r="D52" s="2">
        <v>6</v>
      </c>
      <c r="E52" s="2">
        <v>92</v>
      </c>
      <c r="F52" s="2">
        <v>93.5</v>
      </c>
      <c r="G52" s="2">
        <v>9.59</v>
      </c>
      <c r="H52" s="2" t="s">
        <v>22</v>
      </c>
    </row>
    <row r="53" spans="1:8" ht="15" customHeight="1" x14ac:dyDescent="0.3">
      <c r="A53" s="3" t="s">
        <v>130</v>
      </c>
      <c r="B53" s="13" t="s">
        <v>131</v>
      </c>
      <c r="C53" s="3" t="s">
        <v>63</v>
      </c>
      <c r="D53" s="3">
        <v>8</v>
      </c>
      <c r="E53" s="3">
        <v>92</v>
      </c>
      <c r="F53" s="3">
        <v>74.8</v>
      </c>
      <c r="G53" s="3">
        <v>8.94</v>
      </c>
      <c r="H53" s="3" t="s">
        <v>22</v>
      </c>
    </row>
    <row r="54" spans="1:8" ht="15" customHeight="1" x14ac:dyDescent="0.3">
      <c r="A54" s="2" t="s">
        <v>132</v>
      </c>
      <c r="B54" s="12" t="s">
        <v>133</v>
      </c>
      <c r="C54" s="2" t="s">
        <v>50</v>
      </c>
      <c r="D54" s="2">
        <v>8</v>
      </c>
      <c r="E54" s="2">
        <v>68</v>
      </c>
      <c r="F54" s="2">
        <v>66.2</v>
      </c>
      <c r="G54" s="2">
        <v>6.75</v>
      </c>
      <c r="H54" s="2" t="s">
        <v>35</v>
      </c>
    </row>
    <row r="55" spans="1:8" ht="15" customHeight="1" x14ac:dyDescent="0.3">
      <c r="A55" s="3" t="s">
        <v>134</v>
      </c>
      <c r="B55" s="13" t="s">
        <v>135</v>
      </c>
      <c r="C55" s="3" t="s">
        <v>14</v>
      </c>
      <c r="D55" s="3">
        <v>5</v>
      </c>
      <c r="E55" s="3">
        <v>45</v>
      </c>
      <c r="F55" s="3">
        <v>68.2</v>
      </c>
      <c r="G55" s="3">
        <v>4.9400000000000004</v>
      </c>
      <c r="H55" s="3" t="s">
        <v>15</v>
      </c>
    </row>
    <row r="56" spans="1:8" ht="15" customHeight="1" x14ac:dyDescent="0.3">
      <c r="A56" s="2" t="s">
        <v>136</v>
      </c>
      <c r="B56" s="12" t="s">
        <v>137</v>
      </c>
      <c r="C56" s="2" t="s">
        <v>31</v>
      </c>
      <c r="D56" s="2">
        <v>7</v>
      </c>
      <c r="E56" s="2">
        <v>79</v>
      </c>
      <c r="F56" s="2">
        <v>74.400000000000006</v>
      </c>
      <c r="G56" s="2">
        <v>8.6</v>
      </c>
      <c r="H56" s="2" t="s">
        <v>22</v>
      </c>
    </row>
    <row r="57" spans="1:8" ht="15" customHeight="1" x14ac:dyDescent="0.3">
      <c r="A57" s="3" t="s">
        <v>138</v>
      </c>
      <c r="B57" s="13" t="s">
        <v>139</v>
      </c>
      <c r="C57" s="3" t="s">
        <v>38</v>
      </c>
      <c r="D57" s="3">
        <v>2</v>
      </c>
      <c r="E57" s="3">
        <v>30</v>
      </c>
      <c r="F57" s="3">
        <v>61.2</v>
      </c>
      <c r="G57" s="3">
        <v>2.98</v>
      </c>
      <c r="H57" s="3" t="s">
        <v>35</v>
      </c>
    </row>
    <row r="58" spans="1:8" ht="15" customHeight="1" x14ac:dyDescent="0.3">
      <c r="A58" s="2" t="s">
        <v>140</v>
      </c>
      <c r="B58" s="12" t="s">
        <v>141</v>
      </c>
      <c r="C58" s="2" t="s">
        <v>25</v>
      </c>
      <c r="D58" s="2">
        <v>5</v>
      </c>
      <c r="E58" s="2">
        <v>64</v>
      </c>
      <c r="F58" s="2">
        <v>61.2</v>
      </c>
      <c r="G58" s="2">
        <v>6.38</v>
      </c>
      <c r="H58" s="2" t="s">
        <v>26</v>
      </c>
    </row>
    <row r="59" spans="1:8" ht="15" customHeight="1" x14ac:dyDescent="0.3">
      <c r="A59" s="3" t="s">
        <v>142</v>
      </c>
      <c r="B59" s="13" t="s">
        <v>143</v>
      </c>
      <c r="C59" s="3" t="s">
        <v>68</v>
      </c>
      <c r="D59" s="3">
        <v>2</v>
      </c>
      <c r="E59" s="3">
        <v>66</v>
      </c>
      <c r="F59" s="3">
        <v>64.400000000000006</v>
      </c>
      <c r="G59" s="3">
        <v>7.12</v>
      </c>
      <c r="H59" s="3" t="s">
        <v>15</v>
      </c>
    </row>
    <row r="60" spans="1:8" ht="15" customHeight="1" x14ac:dyDescent="0.3">
      <c r="A60" s="2" t="s">
        <v>144</v>
      </c>
      <c r="B60" s="12" t="s">
        <v>145</v>
      </c>
      <c r="C60" s="2" t="s">
        <v>34</v>
      </c>
      <c r="D60" s="2">
        <v>8</v>
      </c>
      <c r="E60" s="2">
        <v>40</v>
      </c>
      <c r="F60" s="2">
        <v>57.3</v>
      </c>
      <c r="G60" s="2">
        <v>5.08</v>
      </c>
      <c r="H60" s="2" t="s">
        <v>35</v>
      </c>
    </row>
    <row r="61" spans="1:8" ht="15" customHeight="1" x14ac:dyDescent="0.3">
      <c r="A61" s="3" t="s">
        <v>146</v>
      </c>
      <c r="B61" s="13" t="s">
        <v>147</v>
      </c>
      <c r="C61" s="3" t="s">
        <v>117</v>
      </c>
      <c r="D61" s="3">
        <v>4</v>
      </c>
      <c r="E61" s="3">
        <v>73</v>
      </c>
      <c r="F61" s="3">
        <v>66.8</v>
      </c>
      <c r="G61" s="3">
        <v>7.21</v>
      </c>
      <c r="H61" s="3" t="s">
        <v>11</v>
      </c>
    </row>
    <row r="62" spans="1:8" ht="15" customHeight="1" x14ac:dyDescent="0.3">
      <c r="A62" s="2" t="s">
        <v>148</v>
      </c>
      <c r="B62" s="12" t="s">
        <v>149</v>
      </c>
      <c r="C62" s="2" t="s">
        <v>63</v>
      </c>
      <c r="D62" s="2">
        <v>7</v>
      </c>
      <c r="E62" s="2">
        <v>61</v>
      </c>
      <c r="F62" s="2">
        <v>80.3</v>
      </c>
      <c r="G62" s="2">
        <v>6.41</v>
      </c>
      <c r="H62" s="2" t="s">
        <v>22</v>
      </c>
    </row>
    <row r="63" spans="1:8" ht="15" customHeight="1" x14ac:dyDescent="0.3">
      <c r="A63" s="3" t="s">
        <v>150</v>
      </c>
      <c r="B63" s="13" t="s">
        <v>151</v>
      </c>
      <c r="C63" s="3" t="s">
        <v>68</v>
      </c>
      <c r="D63" s="3">
        <v>1</v>
      </c>
      <c r="E63" s="3">
        <v>73</v>
      </c>
      <c r="F63" s="3">
        <v>76.3</v>
      </c>
      <c r="G63" s="3">
        <v>7.42</v>
      </c>
      <c r="H63" s="3" t="s">
        <v>15</v>
      </c>
    </row>
    <row r="64" spans="1:8" ht="15" customHeight="1" x14ac:dyDescent="0.3">
      <c r="A64" s="2" t="s">
        <v>152</v>
      </c>
      <c r="B64" s="12" t="s">
        <v>153</v>
      </c>
      <c r="C64" s="2" t="s">
        <v>81</v>
      </c>
      <c r="D64" s="2">
        <v>8</v>
      </c>
      <c r="E64" s="2">
        <v>65</v>
      </c>
      <c r="F64" s="2">
        <v>60.9</v>
      </c>
      <c r="G64" s="2">
        <v>7.3</v>
      </c>
      <c r="H64" s="2" t="s">
        <v>11</v>
      </c>
    </row>
    <row r="65" spans="1:8" ht="15" customHeight="1" x14ac:dyDescent="0.3">
      <c r="A65" s="3" t="s">
        <v>154</v>
      </c>
      <c r="B65" s="13" t="s">
        <v>155</v>
      </c>
      <c r="C65" s="3" t="s">
        <v>38</v>
      </c>
      <c r="D65" s="3">
        <v>1</v>
      </c>
      <c r="E65" s="3">
        <v>55</v>
      </c>
      <c r="F65" s="3">
        <v>65.7</v>
      </c>
      <c r="G65" s="3">
        <v>5.88</v>
      </c>
      <c r="H65" s="3" t="s">
        <v>35</v>
      </c>
    </row>
    <row r="66" spans="1:8" ht="15" customHeight="1" x14ac:dyDescent="0.3">
      <c r="A66" s="2" t="s">
        <v>156</v>
      </c>
      <c r="B66" s="12" t="s">
        <v>157</v>
      </c>
      <c r="C66" s="2" t="s">
        <v>117</v>
      </c>
      <c r="D66" s="2">
        <v>1</v>
      </c>
      <c r="E66" s="2">
        <v>78</v>
      </c>
      <c r="F66" s="2">
        <v>59.6</v>
      </c>
      <c r="G66" s="2">
        <v>8.41</v>
      </c>
      <c r="H66" s="2" t="s">
        <v>11</v>
      </c>
    </row>
    <row r="67" spans="1:8" ht="15" customHeight="1" x14ac:dyDescent="0.3">
      <c r="A67" s="3" t="s">
        <v>158</v>
      </c>
      <c r="B67" s="13" t="s">
        <v>159</v>
      </c>
      <c r="C67" s="3" t="s">
        <v>92</v>
      </c>
      <c r="D67" s="3">
        <v>4</v>
      </c>
      <c r="E67" s="3">
        <v>71</v>
      </c>
      <c r="F67" s="3">
        <v>65.2</v>
      </c>
      <c r="G67" s="3">
        <v>6.94</v>
      </c>
      <c r="H67" s="3" t="s">
        <v>26</v>
      </c>
    </row>
    <row r="68" spans="1:8" ht="15" customHeight="1" x14ac:dyDescent="0.3">
      <c r="A68" s="2" t="s">
        <v>160</v>
      </c>
      <c r="B68" s="12" t="s">
        <v>161</v>
      </c>
      <c r="C68" s="2" t="s">
        <v>25</v>
      </c>
      <c r="D68" s="2">
        <v>3</v>
      </c>
      <c r="E68" s="2">
        <v>98</v>
      </c>
      <c r="F68" s="2">
        <v>62.3</v>
      </c>
      <c r="G68" s="2">
        <v>9.85</v>
      </c>
      <c r="H68" s="2" t="s">
        <v>26</v>
      </c>
    </row>
    <row r="69" spans="1:8" ht="15" customHeight="1" x14ac:dyDescent="0.3">
      <c r="A69" s="3" t="s">
        <v>162</v>
      </c>
      <c r="B69" s="13" t="s">
        <v>163</v>
      </c>
      <c r="C69" s="3" t="s">
        <v>50</v>
      </c>
      <c r="D69" s="3">
        <v>6</v>
      </c>
      <c r="E69" s="3">
        <v>98</v>
      </c>
      <c r="F69" s="3">
        <v>78.599999999999994</v>
      </c>
      <c r="G69" s="3">
        <v>9.75</v>
      </c>
      <c r="H69" s="3" t="s">
        <v>35</v>
      </c>
    </row>
    <row r="70" spans="1:8" ht="15" customHeight="1" x14ac:dyDescent="0.3">
      <c r="A70" s="2" t="s">
        <v>164</v>
      </c>
      <c r="B70" s="12" t="s">
        <v>165</v>
      </c>
      <c r="C70" s="2" t="s">
        <v>10</v>
      </c>
      <c r="D70" s="2">
        <v>8</v>
      </c>
      <c r="E70" s="2">
        <v>53</v>
      </c>
      <c r="F70" s="2">
        <v>63.2</v>
      </c>
      <c r="G70" s="2">
        <v>5.75</v>
      </c>
      <c r="H70" s="2" t="s">
        <v>11</v>
      </c>
    </row>
    <row r="71" spans="1:8" ht="15" customHeight="1" x14ac:dyDescent="0.3">
      <c r="A71" s="3" t="s">
        <v>166</v>
      </c>
      <c r="B71" s="13" t="s">
        <v>167</v>
      </c>
      <c r="C71" s="3" t="s">
        <v>31</v>
      </c>
      <c r="D71" s="3">
        <v>5</v>
      </c>
      <c r="E71" s="3">
        <v>79</v>
      </c>
      <c r="F71" s="3">
        <v>73.2</v>
      </c>
      <c r="G71" s="3">
        <v>8.02</v>
      </c>
      <c r="H71" s="3" t="s">
        <v>22</v>
      </c>
    </row>
    <row r="72" spans="1:8" ht="15" customHeight="1" x14ac:dyDescent="0.3">
      <c r="A72" s="2" t="s">
        <v>168</v>
      </c>
      <c r="B72" s="12" t="s">
        <v>169</v>
      </c>
      <c r="C72" s="2" t="s">
        <v>92</v>
      </c>
      <c r="D72" s="2">
        <v>4</v>
      </c>
      <c r="E72" s="2">
        <v>75</v>
      </c>
      <c r="F72" s="2">
        <v>99.3</v>
      </c>
      <c r="G72" s="2">
        <v>7.91</v>
      </c>
      <c r="H72" s="2" t="s">
        <v>26</v>
      </c>
    </row>
    <row r="73" spans="1:8" ht="15" customHeight="1" x14ac:dyDescent="0.3">
      <c r="A73" s="3" t="s">
        <v>170</v>
      </c>
      <c r="B73" s="13" t="s">
        <v>171</v>
      </c>
      <c r="C73" s="3" t="s">
        <v>68</v>
      </c>
      <c r="D73" s="3">
        <v>3</v>
      </c>
      <c r="E73" s="3">
        <v>36</v>
      </c>
      <c r="F73" s="3">
        <v>75</v>
      </c>
      <c r="G73" s="3">
        <v>4.3600000000000003</v>
      </c>
      <c r="H73" s="3" t="s">
        <v>15</v>
      </c>
    </row>
    <row r="74" spans="1:8" ht="15" customHeight="1" x14ac:dyDescent="0.3">
      <c r="A74" s="2" t="s">
        <v>172</v>
      </c>
      <c r="B74" s="12" t="s">
        <v>173</v>
      </c>
      <c r="C74" s="2" t="s">
        <v>31</v>
      </c>
      <c r="D74" s="2">
        <v>5</v>
      </c>
      <c r="E74" s="2">
        <v>100</v>
      </c>
      <c r="F74" s="2">
        <v>65.599999999999994</v>
      </c>
      <c r="G74" s="2">
        <v>9.94</v>
      </c>
      <c r="H74" s="2" t="s">
        <v>22</v>
      </c>
    </row>
    <row r="75" spans="1:8" ht="15" customHeight="1" x14ac:dyDescent="0.3">
      <c r="A75" s="3" t="s">
        <v>174</v>
      </c>
      <c r="B75" s="13" t="s">
        <v>175</v>
      </c>
      <c r="C75" s="3" t="s">
        <v>81</v>
      </c>
      <c r="D75" s="3">
        <v>4</v>
      </c>
      <c r="E75" s="3">
        <v>44</v>
      </c>
      <c r="F75" s="3">
        <v>58.6</v>
      </c>
      <c r="G75" s="3">
        <v>5.14</v>
      </c>
      <c r="H75" s="3" t="s">
        <v>11</v>
      </c>
    </row>
    <row r="76" spans="1:8" ht="15" customHeight="1" x14ac:dyDescent="0.3">
      <c r="A76" s="2" t="s">
        <v>176</v>
      </c>
      <c r="B76" s="12" t="s">
        <v>177</v>
      </c>
      <c r="C76" s="2" t="s">
        <v>38</v>
      </c>
      <c r="D76" s="2">
        <v>6</v>
      </c>
      <c r="E76" s="2">
        <v>95</v>
      </c>
      <c r="F76" s="2">
        <v>57.8</v>
      </c>
      <c r="G76" s="2">
        <v>9.89</v>
      </c>
      <c r="H76" s="2" t="s">
        <v>35</v>
      </c>
    </row>
    <row r="77" spans="1:8" ht="15" customHeight="1" x14ac:dyDescent="0.3">
      <c r="A77" s="3" t="s">
        <v>178</v>
      </c>
      <c r="B77" s="13" t="s">
        <v>179</v>
      </c>
      <c r="C77" s="3" t="s">
        <v>50</v>
      </c>
      <c r="D77" s="3">
        <v>1</v>
      </c>
      <c r="E77" s="3">
        <v>85</v>
      </c>
      <c r="F77" s="3">
        <v>55.3</v>
      </c>
      <c r="G77" s="3">
        <v>8.51</v>
      </c>
      <c r="H77" s="3" t="s">
        <v>35</v>
      </c>
    </row>
    <row r="78" spans="1:8" ht="15" customHeight="1" x14ac:dyDescent="0.3">
      <c r="A78" s="2" t="s">
        <v>180</v>
      </c>
      <c r="B78" s="12" t="s">
        <v>181</v>
      </c>
      <c r="C78" s="2" t="s">
        <v>21</v>
      </c>
      <c r="D78" s="2">
        <v>5</v>
      </c>
      <c r="E78" s="2">
        <v>61</v>
      </c>
      <c r="F78" s="2">
        <v>61.6</v>
      </c>
      <c r="G78" s="2">
        <v>6.05</v>
      </c>
      <c r="H78" s="2" t="s">
        <v>22</v>
      </c>
    </row>
    <row r="79" spans="1:8" ht="15" customHeight="1" x14ac:dyDescent="0.3">
      <c r="A79" s="3" t="s">
        <v>182</v>
      </c>
      <c r="B79" s="13" t="s">
        <v>183</v>
      </c>
      <c r="C79" s="3" t="s">
        <v>117</v>
      </c>
      <c r="D79" s="3">
        <v>3</v>
      </c>
      <c r="E79" s="3">
        <v>75</v>
      </c>
      <c r="F79" s="3">
        <v>94.1</v>
      </c>
      <c r="G79" s="3">
        <v>7.63</v>
      </c>
      <c r="H79" s="3" t="s">
        <v>11</v>
      </c>
    </row>
    <row r="80" spans="1:8" ht="15" customHeight="1" x14ac:dyDescent="0.3">
      <c r="A80" s="2" t="s">
        <v>184</v>
      </c>
      <c r="B80" s="12" t="s">
        <v>185</v>
      </c>
      <c r="C80" s="2" t="s">
        <v>38</v>
      </c>
      <c r="D80" s="2">
        <v>4</v>
      </c>
      <c r="E80" s="2">
        <v>93</v>
      </c>
      <c r="F80" s="2">
        <v>70</v>
      </c>
      <c r="G80" s="2">
        <v>9.75</v>
      </c>
      <c r="H80" s="2" t="s">
        <v>35</v>
      </c>
    </row>
    <row r="81" spans="1:8" ht="15" customHeight="1" x14ac:dyDescent="0.3">
      <c r="A81" s="3" t="s">
        <v>186</v>
      </c>
      <c r="B81" s="13" t="s">
        <v>187</v>
      </c>
      <c r="C81" s="3" t="s">
        <v>117</v>
      </c>
      <c r="D81" s="3">
        <v>8</v>
      </c>
      <c r="E81" s="3">
        <v>62</v>
      </c>
      <c r="F81" s="3">
        <v>59.1</v>
      </c>
      <c r="G81" s="3">
        <v>6.52</v>
      </c>
      <c r="H81" s="3" t="s">
        <v>11</v>
      </c>
    </row>
    <row r="82" spans="1:8" ht="15" customHeight="1" x14ac:dyDescent="0.3">
      <c r="A82" s="2" t="s">
        <v>188</v>
      </c>
      <c r="B82" s="12" t="s">
        <v>189</v>
      </c>
      <c r="C82" s="2" t="s">
        <v>38</v>
      </c>
      <c r="D82" s="2">
        <v>3</v>
      </c>
      <c r="E82" s="2">
        <v>91</v>
      </c>
      <c r="F82" s="2">
        <v>98.6</v>
      </c>
      <c r="G82" s="2">
        <v>9.23</v>
      </c>
      <c r="H82" s="2" t="s">
        <v>35</v>
      </c>
    </row>
    <row r="83" spans="1:8" ht="15" customHeight="1" x14ac:dyDescent="0.3">
      <c r="A83" s="3" t="s">
        <v>190</v>
      </c>
      <c r="B83" s="13" t="s">
        <v>191</v>
      </c>
      <c r="C83" s="3" t="s">
        <v>25</v>
      </c>
      <c r="D83" s="3">
        <v>4</v>
      </c>
      <c r="E83" s="3">
        <v>59</v>
      </c>
      <c r="F83" s="3">
        <v>70</v>
      </c>
      <c r="G83" s="3">
        <v>6.42</v>
      </c>
      <c r="H83" s="3" t="s">
        <v>26</v>
      </c>
    </row>
    <row r="84" spans="1:8" ht="15" customHeight="1" x14ac:dyDescent="0.3">
      <c r="A84" s="2" t="s">
        <v>192</v>
      </c>
      <c r="B84" s="12" t="s">
        <v>193</v>
      </c>
      <c r="C84" s="2" t="s">
        <v>14</v>
      </c>
      <c r="D84" s="2">
        <v>8</v>
      </c>
      <c r="E84" s="2">
        <v>82</v>
      </c>
      <c r="F84" s="2">
        <v>63.3</v>
      </c>
      <c r="G84" s="2">
        <v>8.25</v>
      </c>
      <c r="H84" s="2" t="s">
        <v>15</v>
      </c>
    </row>
    <row r="85" spans="1:8" ht="15" customHeight="1" x14ac:dyDescent="0.3">
      <c r="A85" s="3" t="s">
        <v>194</v>
      </c>
      <c r="B85" s="13" t="s">
        <v>195</v>
      </c>
      <c r="C85" s="3" t="s">
        <v>21</v>
      </c>
      <c r="D85" s="3">
        <v>2</v>
      </c>
      <c r="E85" s="3">
        <v>49</v>
      </c>
      <c r="F85" s="3">
        <v>65.3</v>
      </c>
      <c r="G85" s="3">
        <v>5.63</v>
      </c>
      <c r="H85" s="3" t="s">
        <v>22</v>
      </c>
    </row>
    <row r="86" spans="1:8" ht="15" customHeight="1" x14ac:dyDescent="0.3">
      <c r="A86" s="2" t="s">
        <v>196</v>
      </c>
      <c r="B86" s="12" t="s">
        <v>197</v>
      </c>
      <c r="C86" s="2" t="s">
        <v>25</v>
      </c>
      <c r="D86" s="2">
        <v>2</v>
      </c>
      <c r="E86" s="2">
        <v>78</v>
      </c>
      <c r="F86" s="2">
        <v>77.599999999999994</v>
      </c>
      <c r="G86" s="2">
        <v>7.73</v>
      </c>
      <c r="H86" s="2" t="s">
        <v>26</v>
      </c>
    </row>
    <row r="87" spans="1:8" ht="15" customHeight="1" x14ac:dyDescent="0.3">
      <c r="A87" s="3" t="s">
        <v>198</v>
      </c>
      <c r="B87" s="13" t="s">
        <v>199</v>
      </c>
      <c r="C87" s="3" t="s">
        <v>81</v>
      </c>
      <c r="D87" s="3">
        <v>8</v>
      </c>
      <c r="E87" s="3">
        <v>52</v>
      </c>
      <c r="F87" s="3">
        <v>68.2</v>
      </c>
      <c r="G87" s="3">
        <v>6.17</v>
      </c>
      <c r="H87" s="3" t="s">
        <v>11</v>
      </c>
    </row>
    <row r="88" spans="1:8" ht="15" customHeight="1" x14ac:dyDescent="0.3">
      <c r="A88" s="2" t="s">
        <v>200</v>
      </c>
      <c r="B88" s="12" t="s">
        <v>201</v>
      </c>
      <c r="C88" s="2" t="s">
        <v>47</v>
      </c>
      <c r="D88" s="2">
        <v>2</v>
      </c>
      <c r="E88" s="2">
        <v>37</v>
      </c>
      <c r="F88" s="2">
        <v>61.8</v>
      </c>
      <c r="G88" s="2">
        <v>4.0199999999999996</v>
      </c>
      <c r="H88" s="2" t="s">
        <v>26</v>
      </c>
    </row>
    <row r="89" spans="1:8" ht="15" customHeight="1" x14ac:dyDescent="0.3">
      <c r="A89" s="3" t="s">
        <v>202</v>
      </c>
      <c r="B89" s="13" t="s">
        <v>203</v>
      </c>
      <c r="C89" s="3" t="s">
        <v>21</v>
      </c>
      <c r="D89" s="3">
        <v>2</v>
      </c>
      <c r="E89" s="3">
        <v>74</v>
      </c>
      <c r="F89" s="3">
        <v>84.5</v>
      </c>
      <c r="G89" s="3">
        <v>7.79</v>
      </c>
      <c r="H89" s="3" t="s">
        <v>22</v>
      </c>
    </row>
    <row r="90" spans="1:8" ht="15" customHeight="1" x14ac:dyDescent="0.3">
      <c r="A90" s="2" t="s">
        <v>204</v>
      </c>
      <c r="B90" s="12" t="s">
        <v>205</v>
      </c>
      <c r="C90" s="2" t="s">
        <v>18</v>
      </c>
      <c r="D90" s="2">
        <v>5</v>
      </c>
      <c r="E90" s="2">
        <v>34</v>
      </c>
      <c r="F90" s="2">
        <v>65.2</v>
      </c>
      <c r="G90" s="2">
        <v>4.26</v>
      </c>
      <c r="H90" s="2" t="s">
        <v>15</v>
      </c>
    </row>
    <row r="91" spans="1:8" ht="15" customHeight="1" x14ac:dyDescent="0.3">
      <c r="A91" s="3" t="s">
        <v>206</v>
      </c>
      <c r="B91" s="13" t="s">
        <v>207</v>
      </c>
      <c r="C91" s="3" t="s">
        <v>92</v>
      </c>
      <c r="D91" s="3">
        <v>7</v>
      </c>
      <c r="E91" s="3">
        <v>34</v>
      </c>
      <c r="F91" s="3">
        <v>59.2</v>
      </c>
      <c r="G91" s="3">
        <v>4</v>
      </c>
      <c r="H91" s="3" t="s">
        <v>26</v>
      </c>
    </row>
    <row r="92" spans="1:8" ht="15" customHeight="1" x14ac:dyDescent="0.3">
      <c r="A92" s="2" t="s">
        <v>208</v>
      </c>
      <c r="B92" s="12" t="s">
        <v>209</v>
      </c>
      <c r="C92" s="2" t="s">
        <v>38</v>
      </c>
      <c r="D92" s="2">
        <v>7</v>
      </c>
      <c r="E92" s="2">
        <v>56</v>
      </c>
      <c r="F92" s="2">
        <v>81.3</v>
      </c>
      <c r="G92" s="2">
        <v>6.39</v>
      </c>
      <c r="H92" s="2" t="s">
        <v>35</v>
      </c>
    </row>
    <row r="93" spans="1:8" ht="15" customHeight="1" x14ac:dyDescent="0.3">
      <c r="A93" s="3" t="s">
        <v>210</v>
      </c>
      <c r="B93" s="13" t="s">
        <v>211</v>
      </c>
      <c r="C93" s="3" t="s">
        <v>10</v>
      </c>
      <c r="D93" s="3">
        <v>6</v>
      </c>
      <c r="E93" s="3">
        <v>54</v>
      </c>
      <c r="F93" s="3">
        <v>60.7</v>
      </c>
      <c r="G93" s="3">
        <v>5.69</v>
      </c>
      <c r="H93" s="3" t="s">
        <v>11</v>
      </c>
    </row>
    <row r="94" spans="1:8" ht="15" customHeight="1" x14ac:dyDescent="0.3">
      <c r="A94" s="2" t="s">
        <v>212</v>
      </c>
      <c r="B94" s="12" t="s">
        <v>213</v>
      </c>
      <c r="C94" s="2" t="s">
        <v>10</v>
      </c>
      <c r="D94" s="2">
        <v>1</v>
      </c>
      <c r="E94" s="2">
        <v>60</v>
      </c>
      <c r="F94" s="2">
        <v>95.3</v>
      </c>
      <c r="G94" s="2">
        <v>6.78</v>
      </c>
      <c r="H94" s="2" t="s">
        <v>11</v>
      </c>
    </row>
    <row r="95" spans="1:8" ht="15" customHeight="1" x14ac:dyDescent="0.3">
      <c r="A95" s="3" t="s">
        <v>214</v>
      </c>
      <c r="B95" s="13" t="s">
        <v>215</v>
      </c>
      <c r="C95" s="3" t="s">
        <v>14</v>
      </c>
      <c r="D95" s="3">
        <v>4</v>
      </c>
      <c r="E95" s="3">
        <v>85</v>
      </c>
      <c r="F95" s="3">
        <v>79.2</v>
      </c>
      <c r="G95" s="3">
        <v>8.8000000000000007</v>
      </c>
      <c r="H95" s="3" t="s">
        <v>15</v>
      </c>
    </row>
    <row r="96" spans="1:8" ht="15" customHeight="1" x14ac:dyDescent="0.3">
      <c r="A96" s="2" t="s">
        <v>216</v>
      </c>
      <c r="B96" s="12" t="s">
        <v>217</v>
      </c>
      <c r="C96" s="2" t="s">
        <v>81</v>
      </c>
      <c r="D96" s="2">
        <v>2</v>
      </c>
      <c r="E96" s="2">
        <v>54</v>
      </c>
      <c r="F96" s="2">
        <v>81.5</v>
      </c>
      <c r="G96" s="2">
        <v>6.06</v>
      </c>
      <c r="H96" s="2" t="s">
        <v>11</v>
      </c>
    </row>
    <row r="97" spans="1:8" ht="15" customHeight="1" x14ac:dyDescent="0.3">
      <c r="A97" s="3" t="s">
        <v>218</v>
      </c>
      <c r="B97" s="13" t="s">
        <v>219</v>
      </c>
      <c r="C97" s="3" t="s">
        <v>38</v>
      </c>
      <c r="D97" s="3">
        <v>8</v>
      </c>
      <c r="E97" s="3">
        <v>87</v>
      </c>
      <c r="F97" s="3">
        <v>59.1</v>
      </c>
      <c r="G97" s="3">
        <v>8.56</v>
      </c>
      <c r="H97" s="3" t="s">
        <v>35</v>
      </c>
    </row>
    <row r="98" spans="1:8" ht="15" customHeight="1" x14ac:dyDescent="0.3">
      <c r="A98" s="2" t="s">
        <v>220</v>
      </c>
      <c r="B98" s="12" t="s">
        <v>221</v>
      </c>
      <c r="C98" s="2" t="s">
        <v>14</v>
      </c>
      <c r="D98" s="2">
        <v>3</v>
      </c>
      <c r="E98" s="2">
        <v>57</v>
      </c>
      <c r="F98" s="2">
        <v>87.9</v>
      </c>
      <c r="G98" s="2">
        <v>5.93</v>
      </c>
      <c r="H98" s="2" t="s">
        <v>15</v>
      </c>
    </row>
    <row r="99" spans="1:8" ht="15" customHeight="1" x14ac:dyDescent="0.3">
      <c r="A99" s="3" t="s">
        <v>222</v>
      </c>
      <c r="B99" s="13" t="s">
        <v>223</v>
      </c>
      <c r="C99" s="3" t="s">
        <v>25</v>
      </c>
      <c r="D99" s="3">
        <v>6</v>
      </c>
      <c r="E99" s="3">
        <v>44</v>
      </c>
      <c r="F99" s="3">
        <v>71.900000000000006</v>
      </c>
      <c r="G99" s="3">
        <v>4.84</v>
      </c>
      <c r="H99" s="3" t="s">
        <v>26</v>
      </c>
    </row>
    <row r="100" spans="1:8" ht="15" customHeight="1" x14ac:dyDescent="0.3">
      <c r="A100" s="2" t="s">
        <v>224</v>
      </c>
      <c r="B100" s="12" t="s">
        <v>225</v>
      </c>
      <c r="C100" s="2" t="s">
        <v>92</v>
      </c>
      <c r="D100" s="2">
        <v>1</v>
      </c>
      <c r="E100" s="2">
        <v>78</v>
      </c>
      <c r="F100" s="2">
        <v>55.9</v>
      </c>
      <c r="G100" s="2">
        <v>8.4600000000000009</v>
      </c>
      <c r="H100" s="2" t="s">
        <v>26</v>
      </c>
    </row>
    <row r="101" spans="1:8" ht="15" customHeight="1" x14ac:dyDescent="0.3">
      <c r="A101" s="3" t="s">
        <v>226</v>
      </c>
      <c r="B101" s="13" t="s">
        <v>227</v>
      </c>
      <c r="C101" s="3" t="s">
        <v>50</v>
      </c>
      <c r="D101" s="3">
        <v>4</v>
      </c>
      <c r="E101" s="3">
        <v>95</v>
      </c>
      <c r="F101" s="3">
        <v>67.099999999999994</v>
      </c>
      <c r="G101" s="3">
        <v>9.5399999999999991</v>
      </c>
      <c r="H101" s="3" t="s">
        <v>35</v>
      </c>
    </row>
  </sheetData>
  <autoFilter ref="A1:H101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zoomScaleNormal="100" workbookViewId="0"/>
  </sheetViews>
  <sheetFormatPr defaultColWidth="8.6640625" defaultRowHeight="14.4" x14ac:dyDescent="0.3"/>
  <cols>
    <col min="1" max="1" width="25" customWidth="1"/>
    <col min="2" max="4" width="18" customWidth="1"/>
  </cols>
  <sheetData>
    <row r="1" spans="1:4" ht="19.5" customHeight="1" x14ac:dyDescent="0.3">
      <c r="A1" s="14" t="s">
        <v>228</v>
      </c>
      <c r="B1" s="14"/>
      <c r="C1" s="14"/>
      <c r="D1" s="14"/>
    </row>
    <row r="2" spans="1:4" ht="15" customHeight="1" x14ac:dyDescent="0.3">
      <c r="A2" s="4" t="s">
        <v>229</v>
      </c>
      <c r="B2" s="5">
        <f>COUNTA('Student Records'!A2:A101)</f>
        <v>100</v>
      </c>
    </row>
    <row r="3" spans="1:4" ht="15" customHeight="1" x14ac:dyDescent="0.3">
      <c r="A3" s="4" t="s">
        <v>230</v>
      </c>
      <c r="B3" s="6">
        <f>AVERAGE('Student Records'!G2:G101)</f>
        <v>6.9938999999999965</v>
      </c>
    </row>
    <row r="4" spans="1:4" ht="15" customHeight="1" x14ac:dyDescent="0.3">
      <c r="A4" s="4" t="s">
        <v>231</v>
      </c>
      <c r="B4" s="6">
        <f>MAX('Student Records'!G2:G101)</f>
        <v>10</v>
      </c>
    </row>
    <row r="5" spans="1:4" ht="15" customHeight="1" x14ac:dyDescent="0.3">
      <c r="A5" s="4" t="s">
        <v>232</v>
      </c>
      <c r="B5" s="6">
        <f>MIN('Student Records'!G2:G101)</f>
        <v>2.72</v>
      </c>
    </row>
    <row r="6" spans="1:4" ht="15" customHeight="1" x14ac:dyDescent="0.3">
      <c r="A6" s="4" t="s">
        <v>233</v>
      </c>
      <c r="B6" s="7">
        <f>AVERAGE('Student Records'!F2:F101)</f>
        <v>72.233000000000033</v>
      </c>
    </row>
    <row r="7" spans="1:4" ht="15" customHeight="1" x14ac:dyDescent="0.3">
      <c r="A7" s="4" t="s">
        <v>234</v>
      </c>
      <c r="B7" s="7">
        <f>AVERAGE('Student Records'!E2:E101)</f>
        <v>65.930000000000007</v>
      </c>
    </row>
    <row r="8" spans="1:4" ht="15" customHeight="1" x14ac:dyDescent="0.3">
      <c r="A8" s="4" t="s">
        <v>235</v>
      </c>
      <c r="B8" s="7">
        <f>COUNTIF('Student Records'!E2:E101,"&gt;=33")/COUNTA('Student Records'!E2:E101)*100</f>
        <v>96</v>
      </c>
    </row>
    <row r="10" spans="1:4" ht="19.5" customHeight="1" x14ac:dyDescent="0.3">
      <c r="A10" s="14" t="s">
        <v>236</v>
      </c>
      <c r="B10" s="14"/>
      <c r="C10" s="14"/>
      <c r="D10" s="14"/>
    </row>
    <row r="11" spans="1:4" ht="15" customHeight="1" x14ac:dyDescent="0.3">
      <c r="A11" s="8" t="s">
        <v>7</v>
      </c>
      <c r="B11" s="8" t="s">
        <v>237</v>
      </c>
      <c r="C11" s="8" t="s">
        <v>238</v>
      </c>
    </row>
    <row r="12" spans="1:4" ht="15" customHeight="1" x14ac:dyDescent="0.3">
      <c r="A12" s="9" t="s">
        <v>26</v>
      </c>
      <c r="B12" s="9" t="str">
        <f>IFERROR(INDEX('Student Records'!$B$2:$B$101,MATCH(1,('Student Records'!$G$2:$G$101=C12)*('Student Records'!$H$2:$H$101=A12),0)),"N/A")</f>
        <v>N/A</v>
      </c>
      <c r="C12" s="10">
        <f>MAX(IF('Student Records'!$H$2:$H$101=A12,'Student Records'!$G$2:$G$101))</f>
        <v>0</v>
      </c>
    </row>
    <row r="13" spans="1:4" ht="15" customHeight="1" x14ac:dyDescent="0.3">
      <c r="A13" s="9" t="s">
        <v>11</v>
      </c>
      <c r="B13" s="9" t="str">
        <f>IFERROR(INDEX('Student Records'!$B$2:$B$101,MATCH(1,('Student Records'!$G$2:$G$101=C13)*('Student Records'!$H$2:$H$101=A13),0)),"N/A")</f>
        <v>N/A</v>
      </c>
      <c r="C13" s="10">
        <f>MAX(IF('Student Records'!$H$2:$H$101=A13,'Student Records'!$G$2:$G$101))</f>
        <v>0</v>
      </c>
    </row>
    <row r="14" spans="1:4" ht="15" customHeight="1" x14ac:dyDescent="0.3">
      <c r="A14" s="9" t="s">
        <v>22</v>
      </c>
      <c r="B14" s="9" t="str">
        <f>IFERROR(INDEX('Student Records'!$B$2:$B$101,MATCH(1,('Student Records'!$G$2:$G$101=C14)*('Student Records'!$H$2:$H$101=A14),0)),"N/A")</f>
        <v>N/A</v>
      </c>
      <c r="C14" s="10">
        <f>MAX(IF('Student Records'!$H$2:$H$101=A14,'Student Records'!$G$2:$G$101))</f>
        <v>0</v>
      </c>
    </row>
    <row r="15" spans="1:4" ht="15" customHeight="1" x14ac:dyDescent="0.3">
      <c r="A15" s="9" t="s">
        <v>35</v>
      </c>
      <c r="B15" s="9" t="str">
        <f>IFERROR(INDEX('Student Records'!$B$2:$B$101,MATCH(1,('Student Records'!$G$2:$G$101=C15)*('Student Records'!$H$2:$H$101=A15),0)),"N/A")</f>
        <v>N/A</v>
      </c>
      <c r="C15" s="10">
        <f>MAX(IF('Student Records'!$H$2:$H$101=A15,'Student Records'!$G$2:$G$101))</f>
        <v>10</v>
      </c>
    </row>
    <row r="16" spans="1:4" ht="15" customHeight="1" x14ac:dyDescent="0.3">
      <c r="A16" s="9" t="s">
        <v>15</v>
      </c>
      <c r="B16" s="9" t="str">
        <f>IFERROR(INDEX('Student Records'!$B$2:$B$101,MATCH(1,('Student Records'!$G$2:$G$101=C16)*('Student Records'!$H$2:$H$101=A16),0)),"N/A")</f>
        <v>N/A</v>
      </c>
      <c r="C16" s="10">
        <f>MAX(IF('Student Records'!$H$2:$H$101=A16,'Student Records'!$G$2:$G$101))</f>
        <v>0</v>
      </c>
    </row>
    <row r="18" spans="1:4" ht="19.5" customHeight="1" x14ac:dyDescent="0.3">
      <c r="A18" s="14" t="s">
        <v>239</v>
      </c>
      <c r="B18" s="14"/>
      <c r="C18" s="14"/>
      <c r="D18" s="14"/>
    </row>
    <row r="19" spans="1:4" ht="15" customHeight="1" x14ac:dyDescent="0.3">
      <c r="A19" s="8" t="s">
        <v>7</v>
      </c>
      <c r="B19" s="8" t="s">
        <v>229</v>
      </c>
      <c r="C19" s="8" t="s">
        <v>240</v>
      </c>
      <c r="D19" s="8" t="s">
        <v>241</v>
      </c>
    </row>
    <row r="20" spans="1:4" ht="15" customHeight="1" x14ac:dyDescent="0.3">
      <c r="A20" s="9" t="s">
        <v>26</v>
      </c>
      <c r="B20" s="5">
        <f>COUNTIF('Student Records'!H2:H101,A20)</f>
        <v>20</v>
      </c>
      <c r="C20" s="5">
        <f>COUNTIFS('Student Records'!H2:H101,A20,'Student Records'!E2:E101,"&gt;=33")</f>
        <v>18</v>
      </c>
      <c r="D20" s="7">
        <f>IF(B20=0,0,C20/B20*100)</f>
        <v>90</v>
      </c>
    </row>
    <row r="21" spans="1:4" ht="15" customHeight="1" x14ac:dyDescent="0.3">
      <c r="A21" s="9" t="s">
        <v>11</v>
      </c>
      <c r="B21" s="5">
        <f>COUNTIF('Student Records'!H2:H101,A21)</f>
        <v>20</v>
      </c>
      <c r="C21" s="5">
        <f>COUNTIFS('Student Records'!H2:H101,A21,'Student Records'!E2:E101,"&gt;=33")</f>
        <v>19</v>
      </c>
      <c r="D21" s="7">
        <f>IF(B21=0,0,C21/B21*100)</f>
        <v>95</v>
      </c>
    </row>
    <row r="22" spans="1:4" ht="15" customHeight="1" x14ac:dyDescent="0.3">
      <c r="A22" s="9" t="s">
        <v>22</v>
      </c>
      <c r="B22" s="5">
        <f>COUNTIF('Student Records'!H2:H101,A22)</f>
        <v>20</v>
      </c>
      <c r="C22" s="5">
        <f>COUNTIFS('Student Records'!H2:H101,A22,'Student Records'!E2:E101,"&gt;=33")</f>
        <v>20</v>
      </c>
      <c r="D22" s="7">
        <f>IF(B22=0,0,C22/B22*100)</f>
        <v>100</v>
      </c>
    </row>
    <row r="23" spans="1:4" ht="15" customHeight="1" x14ac:dyDescent="0.3">
      <c r="A23" s="9" t="s">
        <v>35</v>
      </c>
      <c r="B23" s="5">
        <f>COUNTIF('Student Records'!H2:H101,A23)</f>
        <v>20</v>
      </c>
      <c r="C23" s="5">
        <f>COUNTIFS('Student Records'!H2:H101,A23,'Student Records'!E2:E101,"&gt;=33")</f>
        <v>19</v>
      </c>
      <c r="D23" s="7">
        <f>IF(B23=0,0,C23/B23*100)</f>
        <v>95</v>
      </c>
    </row>
    <row r="24" spans="1:4" ht="15" customHeight="1" x14ac:dyDescent="0.3">
      <c r="A24" s="9" t="s">
        <v>15</v>
      </c>
      <c r="B24" s="5">
        <f>COUNTIF('Student Records'!H2:H101,A24)</f>
        <v>20</v>
      </c>
      <c r="C24" s="5">
        <f>COUNTIFS('Student Records'!H2:H101,A24,'Student Records'!E2:E101,"&gt;=33")</f>
        <v>20</v>
      </c>
      <c r="D24" s="7">
        <f>IF(B24=0,0,C24/B24*100)</f>
        <v>100</v>
      </c>
    </row>
    <row r="26" spans="1:4" ht="19.5" customHeight="1" x14ac:dyDescent="0.3">
      <c r="A26" s="14" t="s">
        <v>242</v>
      </c>
      <c r="B26" s="14"/>
      <c r="C26" s="14"/>
      <c r="D26" s="14"/>
    </row>
    <row r="27" spans="1:4" ht="15" customHeight="1" x14ac:dyDescent="0.3">
      <c r="A27" s="8" t="s">
        <v>243</v>
      </c>
      <c r="B27" s="8" t="s">
        <v>244</v>
      </c>
      <c r="C27" s="8" t="s">
        <v>245</v>
      </c>
    </row>
    <row r="28" spans="1:4" ht="15" customHeight="1" x14ac:dyDescent="0.3">
      <c r="A28" s="9" t="s">
        <v>246</v>
      </c>
      <c r="B28" s="5">
        <f>COUNTIF('Student Records'!G2:G101,"&gt;=9")</f>
        <v>18</v>
      </c>
      <c r="C28" s="7">
        <f>IF(B28=0,0,B28/100*100)</f>
        <v>18</v>
      </c>
    </row>
    <row r="29" spans="1:4" ht="15" customHeight="1" x14ac:dyDescent="0.3">
      <c r="A29" s="9" t="s">
        <v>247</v>
      </c>
      <c r="B29" s="5">
        <f>COUNTIFS('Student Records'!G2:G101,"&gt;=8",'Student Records'!G2:G101,"&lt;9")</f>
        <v>16</v>
      </c>
      <c r="C29" s="7">
        <f>IF(B29=0,0,B29/100*100)</f>
        <v>16</v>
      </c>
    </row>
    <row r="30" spans="1:4" ht="15" customHeight="1" x14ac:dyDescent="0.3">
      <c r="A30" s="9" t="s">
        <v>248</v>
      </c>
      <c r="B30" s="5">
        <f>COUNTIFS('Student Records'!G2:G101,"&gt;=7",'Student Records'!G2:G101,"&lt;8")</f>
        <v>18</v>
      </c>
      <c r="C30" s="7">
        <f>IF(B30=0,0,B30/100*100)</f>
        <v>18</v>
      </c>
    </row>
    <row r="31" spans="1:4" ht="15" customHeight="1" x14ac:dyDescent="0.3">
      <c r="A31" s="9" t="s">
        <v>249</v>
      </c>
      <c r="B31" s="5">
        <f>COUNTIFS('Student Records'!G2:G101,"&gt;=6",'Student Records'!G2:G101,"&lt;7")</f>
        <v>13</v>
      </c>
      <c r="C31" s="7">
        <f>IF(B31=0,0,B31/100*100)</f>
        <v>13</v>
      </c>
    </row>
    <row r="32" spans="1:4" ht="15" customHeight="1" x14ac:dyDescent="0.3">
      <c r="A32" s="9" t="s">
        <v>250</v>
      </c>
      <c r="B32" s="5">
        <f>COUNTIF('Student Records'!G2:G101,"&lt;6")</f>
        <v>35</v>
      </c>
      <c r="C32" s="7">
        <f>IF(B32=0,0,B32/100*100)</f>
        <v>35</v>
      </c>
    </row>
  </sheetData>
  <mergeCells count="4">
    <mergeCell ref="A1:D1"/>
    <mergeCell ref="A10:D10"/>
    <mergeCell ref="A18:D18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Prakash Pandey</cp:lastModifiedBy>
  <cp:revision>0</cp:revision>
  <dcterms:created xsi:type="dcterms:W3CDTF">2026-04-06T09:47:30Z</dcterms:created>
  <dcterms:modified xsi:type="dcterms:W3CDTF">2026-05-16T11:38:26Z</dcterms:modified>
  <dc:language>en-US</dc:language>
</cp:coreProperties>
</file>